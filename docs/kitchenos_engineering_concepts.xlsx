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pts" sheetId="1" state="visible" r:id="rId3"/>
    <sheet name="Top 7 Priorities" sheetId="2" state="visible" r:id="rId4"/>
    <sheet name="Summary" sheetId="3" state="visible" r:id="rId5"/>
  </sheets>
  <definedNames>
    <definedName function="false" hidden="true" localSheetId="0" name="_xlnm._FilterDatabase" vbProcedure="false">Concepts!$A$4:$H$68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<sst xmlns="http://schemas.openxmlformats.org/spreadsheetml/2006/main" count="369" uniqueCount="238">
  <si>
    <t xml:space="preserve">KitchenOS: engineering concepts checklist</t>
  </si>
  <si>
    <t xml:space="preserve">How to use: edit only the yellow columns (Status, Owner, Notes). Status uses the dropdown. Example: Status = In progress, Owner = Saty, Notes = unique index added on orders. Top-7 rank comes from the suggested priority order (1 = do first); blank = not in the top 7.</t>
  </si>
  <si>
    <t xml:space="preserve">Category</t>
  </si>
  <si>
    <t xml:space="preserve">Concept</t>
  </si>
  <si>
    <t xml:space="preserve">What it means</t>
  </si>
  <si>
    <t xml:space="preserve">Where you need it in KitchenOS</t>
  </si>
  <si>
    <t xml:space="preserve">Top-7 rank</t>
  </si>
  <si>
    <t xml:space="preserve">Status</t>
  </si>
  <si>
    <t xml:space="preserve">Owner</t>
  </si>
  <si>
    <t xml:space="preserve">Notes</t>
  </si>
  <si>
    <t xml:space="preserve">Correctness &amp; Data Integrity</t>
  </si>
  <si>
    <t xml:space="preserve">Idempotency</t>
  </si>
  <si>
    <t xml:space="preserve">Repeating a request has the same effect as doing it once</t>
  </si>
  <si>
    <t xml:space="preserve">Webhooks, "Mark Ready", stock deduction</t>
  </si>
  <si>
    <t xml:space="preserve">Not started</t>
  </si>
  <si>
    <t xml:space="preserve">Unique constraints</t>
  </si>
  <si>
    <t xml:space="preserve">The database refuses duplicates</t>
  </si>
  <si>
    <t xml:space="preserve">One order per platform order ID, one ledger row per item and ingredient</t>
  </si>
  <si>
    <t xml:space="preserve">ACID transactions</t>
  </si>
  <si>
    <t xml:space="preserve">A group of writes succeeds or fails together</t>
  </si>
  <si>
    <t xml:space="preserve">Order save + stock deduction</t>
  </si>
  <si>
    <t xml:space="preserve">Optimistic locking</t>
  </si>
  <si>
    <t xml:space="preserve">A version number stops two people overwriting each other</t>
  </si>
  <si>
    <t xml:space="preserve">Menu edits, stock adjustments</t>
  </si>
  <si>
    <t xml:space="preserve">State machine</t>
  </si>
  <si>
    <t xml:space="preserve">Only valid status transitions allowed</t>
  </si>
  <si>
    <t xml:space="preserve">Order lifecycle</t>
  </si>
  <si>
    <t xml:space="preserve">Event sourcing / append-only ledger</t>
  </si>
  <si>
    <t xml:space="preserve">Store changes, not just current values</t>
  </si>
  <si>
    <t xml:space="preserve">Stock, payouts</t>
  </si>
  <si>
    <t xml:space="preserve">Outbox / inbox pattern</t>
  </si>
  <si>
    <t xml:space="preserve">Reliable event publishing and consuming</t>
  </si>
  <si>
    <t xml:space="preserve">Order → inventory → margin updates</t>
  </si>
  <si>
    <t xml:space="preserve">Reconciliation</t>
  </si>
  <si>
    <t xml:space="preserve">Scheduled checks that two sources agree</t>
  </si>
  <si>
    <t xml:space="preserve">Ledger vs balance, our orders vs platform's</t>
  </si>
  <si>
    <t xml:space="preserve">Money handling</t>
  </si>
  <si>
    <t xml:space="preserve">Integer paise, rate snapshots, one rounding point</t>
  </si>
  <si>
    <t xml:space="preserve">Margin engine</t>
  </si>
  <si>
    <t xml:space="preserve">Data validation</t>
  </si>
  <si>
    <t xml:space="preserve">Reject bad input at the edge</t>
  </si>
  <si>
    <t xml:space="preserve">Aggregator payloads, manual entry</t>
  </si>
  <si>
    <t xml:space="preserve">Performance</t>
  </si>
  <si>
    <t xml:space="preserve">Indexing</t>
  </si>
  <si>
    <t xml:space="preserve">Fast lookups for known queries</t>
  </si>
  <si>
    <t xml:space="preserve">Queue, KDS, history</t>
  </si>
  <si>
    <t xml:space="preserve">Partial indexes</t>
  </si>
  <si>
    <t xml:space="preserve">Index only the rows you query</t>
  </si>
  <si>
    <t xml:space="preserve">Open orders only</t>
  </si>
  <si>
    <t xml:space="preserve">Partitioning</t>
  </si>
  <si>
    <t xml:space="preserve">Split big tables by time or tenant</t>
  </si>
  <si>
    <t xml:space="preserve">Orders, ledger</t>
  </si>
  <si>
    <t xml:space="preserve">Caching</t>
  </si>
  <si>
    <t xml:space="preserve">Keep hot data in memory</t>
  </si>
  <si>
    <t xml:space="preserve">Menus, recipes, settings</t>
  </si>
  <si>
    <t xml:space="preserve">Denormalized balances</t>
  </si>
  <si>
    <t xml:space="preserve">Store computed totals</t>
  </si>
  <si>
    <t xml:space="preserve">Stock balance per ingredient</t>
  </si>
  <si>
    <t xml:space="preserve">Read replicas / CQRS</t>
  </si>
  <si>
    <t xml:space="preserve">Separate heavy reads from writes</t>
  </si>
  <si>
    <t xml:space="preserve">Reports and dashboards</t>
  </si>
  <si>
    <t xml:space="preserve">Pagination / cursors</t>
  </si>
  <si>
    <t xml:space="preserve">Never load unbounded lists</t>
  </si>
  <si>
    <t xml:space="preserve">Order history, ledger</t>
  </si>
  <si>
    <t xml:space="preserve">Connection pooling</t>
  </si>
  <si>
    <t xml:space="preserve">Reuse database connections</t>
  </si>
  <si>
    <t xml:space="preserve">Every backend service</t>
  </si>
  <si>
    <t xml:space="preserve">Batching and debouncing</t>
  </si>
  <si>
    <t xml:space="preserve">Combine many small operations</t>
  </si>
  <si>
    <t xml:space="preserve">Platform menu sync</t>
  </si>
  <si>
    <t xml:space="preserve">Reliability &amp; Resilience</t>
  </si>
  <si>
    <t xml:space="preserve">Retries with backoff and jitter</t>
  </si>
  <si>
    <t xml:space="preserve">Retry smartly without causing storms</t>
  </si>
  <si>
    <t xml:space="preserve">Aggregator calls</t>
  </si>
  <si>
    <t xml:space="preserve">Timeouts</t>
  </si>
  <si>
    <t xml:space="preserve">Never wait forever</t>
  </si>
  <si>
    <t xml:space="preserve">Every external call</t>
  </si>
  <si>
    <t xml:space="preserve">Circuit breaker</t>
  </si>
  <si>
    <t xml:space="preserve">Stop calling a failing service</t>
  </si>
  <si>
    <t xml:space="preserve">Swiggy or Zomato outage</t>
  </si>
  <si>
    <t xml:space="preserve">Bulkheads</t>
  </si>
  <si>
    <t xml:space="preserve">Isolate failures to one part</t>
  </si>
  <si>
    <t xml:space="preserve">One adapter per platform</t>
  </si>
  <si>
    <t xml:space="preserve">Dead-letter queue</t>
  </si>
  <si>
    <t xml:space="preserve">Park failed messages for review</t>
  </si>
  <si>
    <t xml:space="preserve">Unprocessable orders</t>
  </si>
  <si>
    <t xml:space="preserve">Graceful degradation</t>
  </si>
  <si>
    <t xml:space="preserve">Core flow works when side features fail</t>
  </si>
  <si>
    <t xml:space="preserve">Orders work if reports are down</t>
  </si>
  <si>
    <t xml:space="preserve">Offline-first / local sync</t>
  </si>
  <si>
    <t xml:space="preserve">Work without internet, sync later</t>
  </si>
  <si>
    <t xml:space="preserve">Tablet KDS</t>
  </si>
  <si>
    <t xml:space="preserve">Backpressure and queues</t>
  </si>
  <si>
    <t xml:space="preserve">Absorb spikes without dropping work</t>
  </si>
  <si>
    <t xml:space="preserve">Dinner rush</t>
  </si>
  <si>
    <t xml:space="preserve">Health checks and failover</t>
  </si>
  <si>
    <t xml:space="preserve">Detect and replace failed nodes</t>
  </si>
  <si>
    <t xml:space="preserve">Multi-AZ database and app</t>
  </si>
  <si>
    <t xml:space="preserve">Backups and restore drills</t>
  </si>
  <si>
    <t xml:space="preserve">Backups you've actually restored</t>
  </si>
  <si>
    <t xml:space="preserve">Point-in-time recovery</t>
  </si>
  <si>
    <t xml:space="preserve">Scalability</t>
  </si>
  <si>
    <t xml:space="preserve">Statelessness</t>
  </si>
  <si>
    <t xml:space="preserve">Any server can handle any request</t>
  </si>
  <si>
    <t xml:space="preserve">App servers</t>
  </si>
  <si>
    <t xml:space="preserve">Horizontal scaling</t>
  </si>
  <si>
    <t xml:space="preserve">Add machines, not bigger machines</t>
  </si>
  <si>
    <t xml:space="preserve">API and workers</t>
  </si>
  <si>
    <t xml:space="preserve">Multi-tenancy</t>
  </si>
  <si>
    <t xml:space="preserve">Many customers on one system, safely</t>
  </si>
  <si>
    <t xml:space="preserve">tenant_id everywhere</t>
  </si>
  <si>
    <t xml:space="preserve">Sharding / cells</t>
  </si>
  <si>
    <t xml:space="preserve">Independent stacks per group of tenants</t>
  </si>
  <si>
    <t xml:space="preserve">Beyond tens of thousands of kitchens</t>
  </si>
  <si>
    <t xml:space="preserve">Rate limiting / quotas</t>
  </si>
  <si>
    <t xml:space="preserve">One tenant can't starve the others</t>
  </si>
  <si>
    <t xml:space="preserve">API and webhooks</t>
  </si>
  <si>
    <t xml:space="preserve">Event streaming</t>
  </si>
  <si>
    <t xml:space="preserve">Durable, replayable event log</t>
  </si>
  <si>
    <t xml:space="preserve">Analytics, integrations</t>
  </si>
  <si>
    <t xml:space="preserve">Autoscaling</t>
  </si>
  <si>
    <t xml:space="preserve">Capacity follows load</t>
  </si>
  <si>
    <t xml:space="preserve">Evening peaks</t>
  </si>
  <si>
    <t xml:space="preserve">Hot-key handling</t>
  </si>
  <si>
    <t xml:space="preserve">Spread load on shared rows</t>
  </si>
  <si>
    <t xml:space="preserve">Common ingredients</t>
  </si>
  <si>
    <t xml:space="preserve">Security</t>
  </si>
  <si>
    <t xml:space="preserve">AuthN / AuthZ (RBAC)</t>
  </si>
  <si>
    <t xml:space="preserve">Who you are and what you may do</t>
  </si>
  <si>
    <t xml:space="preserve">Owner, manager, cook roles</t>
  </si>
  <si>
    <t xml:space="preserve">Server-side permission checks</t>
  </si>
  <si>
    <t xml:space="preserve">Hidden buttons aren't security</t>
  </si>
  <si>
    <t xml:space="preserve">/margins, /inventory</t>
  </si>
  <si>
    <t xml:space="preserve">Row-level security</t>
  </si>
  <si>
    <t xml:space="preserve">Database enforces tenant isolation</t>
  </si>
  <si>
    <t xml:space="preserve">All tenant tables</t>
  </si>
  <si>
    <t xml:space="preserve">Audit logging</t>
  </si>
  <si>
    <t xml:space="preserve">Tamper-evident record of sensitive actions</t>
  </si>
  <si>
    <t xml:space="preserve">Stock edits, pricing, Emergency Pause</t>
  </si>
  <si>
    <t xml:space="preserve">Secrets management</t>
  </si>
  <si>
    <t xml:space="preserve">Keys in a vault, rotated</t>
  </si>
  <si>
    <t xml:space="preserve">Aggregator credentials</t>
  </si>
  <si>
    <t xml:space="preserve">Encryption</t>
  </si>
  <si>
    <t xml:space="preserve">In transit and at rest</t>
  </si>
  <si>
    <t xml:space="preserve">Customer and payout data</t>
  </si>
  <si>
    <t xml:space="preserve">Input sanitization / webhook signature checks</t>
  </si>
  <si>
    <t xml:space="preserve">Trust nothing from outside</t>
  </si>
  <si>
    <t xml:space="preserve">Aggregator webhooks</t>
  </si>
  <si>
    <t xml:space="preserve">Data privacy compliance</t>
  </si>
  <si>
    <t xml:space="preserve">Customer data handling and retention</t>
  </si>
  <si>
    <t xml:space="preserve">Customer names, addresses</t>
  </si>
  <si>
    <t xml:space="preserve">Observability &amp; Operations</t>
  </si>
  <si>
    <t xml:space="preserve">Structured logging</t>
  </si>
  <si>
    <t xml:space="preserve">Searchable, per-tenant logs</t>
  </si>
  <si>
    <t xml:space="preserve">Debugging one kitchen</t>
  </si>
  <si>
    <t xml:space="preserve">Metrics and tracing</t>
  </si>
  <si>
    <t xml:space="preserve">See latency across services</t>
  </si>
  <si>
    <t xml:space="preserve">Order path</t>
  </si>
  <si>
    <t xml:space="preserve">SLOs and error budgets</t>
  </si>
  <si>
    <t xml:space="preserve">Measurable reliability targets</t>
  </si>
  <si>
    <t xml:space="preserve">99.95% order path</t>
  </si>
  <si>
    <t xml:space="preserve">Business-signal alerts</t>
  </si>
  <si>
    <t xml:space="preserve">Alert on missed orders and sync lag</t>
  </si>
  <si>
    <t xml:space="preserve">Not just CPU</t>
  </si>
  <si>
    <t xml:space="preserve">Feature flags</t>
  </si>
  <si>
    <t xml:space="preserve">Turn features on or off per tenant</t>
  </si>
  <si>
    <t xml:space="preserve">Safe rollouts</t>
  </si>
  <si>
    <t xml:space="preserve">Canary and blue-green deploys</t>
  </si>
  <si>
    <t xml:space="preserve">Release to a few first, roll back fast</t>
  </si>
  <si>
    <t xml:space="preserve">Avoid dinner-rush breakage</t>
  </si>
  <si>
    <t xml:space="preserve">Migrations discipline</t>
  </si>
  <si>
    <t xml:space="preserve">Backward-compatible schema changes</t>
  </si>
  <si>
    <t xml:space="preserve">Zero-downtime updates</t>
  </si>
  <si>
    <t xml:space="preserve">Runbooks and incident process</t>
  </si>
  <si>
    <t xml:space="preserve">Known steps for failures</t>
  </si>
  <si>
    <t xml:space="preserve">Support at peak</t>
  </si>
  <si>
    <t xml:space="preserve">Chaos / failure testing</t>
  </si>
  <si>
    <t xml:space="preserve">Break things on purpose</t>
  </si>
  <si>
    <t xml:space="preserve">Offline mode, failover</t>
  </si>
  <si>
    <t xml:space="preserve">Testing</t>
  </si>
  <si>
    <t xml:space="preserve">Concurrency tests</t>
  </si>
  <si>
    <t xml:space="preserve">Same event fired in parallel</t>
  </si>
  <si>
    <t xml:space="preserve">Webhook dedupe</t>
  </si>
  <si>
    <t xml:space="preserve">Property-based tests</t>
  </si>
  <si>
    <t xml:space="preserve">Rules that must always hold</t>
  </si>
  <si>
    <t xml:space="preserve">Line items sum to net</t>
  </si>
  <si>
    <t xml:space="preserve">Contract tests</t>
  </si>
  <si>
    <t xml:space="preserve">Confirm integrations match the spec</t>
  </si>
  <si>
    <t xml:space="preserve">Aggregator payloads</t>
  </si>
  <si>
    <t xml:space="preserve">Load tests with realistic data</t>
  </si>
  <si>
    <t xml:space="preserve">Millions of rows, not two</t>
  </si>
  <si>
    <t xml:space="preserve">Queue and KDS speed</t>
  </si>
  <si>
    <t xml:space="preserve">Replay tests</t>
  </si>
  <si>
    <t xml:space="preserve">Re-run past days of orders</t>
  </si>
  <si>
    <t xml:space="preserve">Margin and stock accuracy</t>
  </si>
  <si>
    <t xml:space="preserve">Product-Level</t>
  </si>
  <si>
    <t xml:space="preserve">Data retention and archival policy</t>
  </si>
  <si>
    <t xml:space="preserve">What to keep, and for how long</t>
  </si>
  <si>
    <t xml:space="preserve">Order history, ledger, audit logs</t>
  </si>
  <si>
    <t xml:space="preserve">Time zones and business-day cutoffs</t>
  </si>
  <si>
    <t xml:space="preserve">A "shift" that spans midnight</t>
  </si>
  <si>
    <t xml:space="preserve">Shift P&amp;L, daily reports</t>
  </si>
  <si>
    <t xml:space="preserve">Soft deletes</t>
  </si>
  <si>
    <t xml:space="preserve">Never hard-delete financial records</t>
  </si>
  <si>
    <t xml:space="preserve">Orders, payouts, ledger</t>
  </si>
  <si>
    <t xml:space="preserve">Localization and unit handling</t>
  </si>
  <si>
    <t xml:space="preserve">Hindi/Odia text, g vs kg conversion</t>
  </si>
  <si>
    <t xml:space="preserve">UI, inventory</t>
  </si>
  <si>
    <t xml:space="preserve">Versioned APIs</t>
  </si>
  <si>
    <t xml:space="preserve">Change the contract without breaking old tablets</t>
  </si>
  <si>
    <t xml:space="preserve">Tablet app, integrations</t>
  </si>
  <si>
    <t xml:space="preserve">What matters most, in order</t>
  </si>
  <si>
    <t xml:space="preserve">Rank</t>
  </si>
  <si>
    <t xml:space="preserve">Focus area</t>
  </si>
  <si>
    <t xml:space="preserve">Concepts covered</t>
  </si>
  <si>
    <t xml:space="preserve">Concepts in group</t>
  </si>
  <si>
    <t xml:space="preserve">Done</t>
  </si>
  <si>
    <t xml:space="preserve">% done</t>
  </si>
  <si>
    <t xml:space="preserve">Idempotency + unique constraints</t>
  </si>
  <si>
    <t xml:space="preserve">Idempotency; Unique constraints</t>
  </si>
  <si>
    <t xml:space="preserve">Append-only ledger + transactions</t>
  </si>
  <si>
    <t xml:space="preserve">ACID transactions; Event sourcing / append-only ledger</t>
  </si>
  <si>
    <t xml:space="preserve">Multi-tenancy + row-level security</t>
  </si>
  <si>
    <t xml:space="preserve">Multi-tenancy; Row-level security</t>
  </si>
  <si>
    <t xml:space="preserve">Indexing + partitioning</t>
  </si>
  <si>
    <t xml:space="preserve">Indexing; Partial indexes; Partitioning</t>
  </si>
  <si>
    <t xml:space="preserve">Offline-first + retries / circuit breakers</t>
  </si>
  <si>
    <t xml:space="preserve">Retries with backoff and jitter; Circuit breaker; Offline-first / local sync</t>
  </si>
  <si>
    <t xml:space="preserve">Observability + business-signal alerts</t>
  </si>
  <si>
    <t xml:space="preserve">Structured logging; Business-signal alerts</t>
  </si>
  <si>
    <t xml:space="preserve">Testing for concurrency and money</t>
  </si>
  <si>
    <t xml:space="preserve">Concurrency tests; Property-based tests</t>
  </si>
  <si>
    <t xml:space="preserve">Counts and % done update automatically from the Status column on the Concepts sheet.</t>
  </si>
  <si>
    <t xml:space="preserve">Progress by category</t>
  </si>
  <si>
    <t xml:space="preserve">Total</t>
  </si>
  <si>
    <t xml:space="preserve">In progress</t>
  </si>
  <si>
    <t xml:space="preserve">Not needed</t>
  </si>
  <si>
    <t xml:space="preserve">% done (excl. not needed)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</si>
</sst>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4" t="s">
        <v>12</v>
      </c>
      <c r="D5" s="4" t="s">
        <v>13</v>
      </c>
      <c r="E5" s="6" t="n">
        <v>1</v>
      </c>
      <c r="F5" s="7" t="s">
        <v>14</v>
      </c>
      <c r="G5" s="7"/>
      <c r="H5" s="7"/>
    </row>
    <row r="6" customFormat="false" ht="23.85" hidden="false" customHeight="false" outlineLevel="0" collapsed="false">
      <c r="A6" s="4" t="s">
        <v>10</v>
      </c>
      <c r="B6" s="5" t="s">
        <v>15</v>
      </c>
      <c r="C6" s="4" t="s">
        <v>16</v>
      </c>
      <c r="D6" s="4" t="s">
        <v>17</v>
      </c>
      <c r="E6" s="6" t="n">
        <v>1</v>
      </c>
      <c r="F6" s="7" t="s">
        <v>14</v>
      </c>
      <c r="G6" s="7"/>
      <c r="H6" s="7"/>
    </row>
    <row r="7" customFormat="false" ht="15" hidden="false" customHeight="false" outlineLevel="0" collapsed="false">
      <c r="A7" s="4" t="s">
        <v>10</v>
      </c>
      <c r="B7" s="5" t="s">
        <v>18</v>
      </c>
      <c r="C7" s="4" t="s">
        <v>19</v>
      </c>
      <c r="D7" s="4" t="s">
        <v>20</v>
      </c>
      <c r="E7" s="6" t="n">
        <v>2</v>
      </c>
      <c r="F7" s="7" t="s">
        <v>14</v>
      </c>
      <c r="G7" s="7"/>
      <c r="H7" s="7"/>
    </row>
    <row r="8" customFormat="false" ht="15" hidden="false" customHeight="false" outlineLevel="0" collapsed="false">
      <c r="A8" s="4" t="s">
        <v>10</v>
      </c>
      <c r="B8" s="5" t="s">
        <v>21</v>
      </c>
      <c r="C8" s="4" t="s">
        <v>22</v>
      </c>
      <c r="D8" s="4" t="s">
        <v>23</v>
      </c>
      <c r="E8" s="6"/>
      <c r="F8" s="7" t="s">
        <v>14</v>
      </c>
      <c r="G8" s="7"/>
      <c r="H8" s="7"/>
    </row>
    <row r="9" customFormat="false" ht="15" hidden="false" customHeight="false" outlineLevel="0" collapsed="false">
      <c r="A9" s="4" t="s">
        <v>10</v>
      </c>
      <c r="B9" s="5" t="s">
        <v>24</v>
      </c>
      <c r="C9" s="4" t="s">
        <v>25</v>
      </c>
      <c r="D9" s="4" t="s">
        <v>26</v>
      </c>
      <c r="E9" s="6"/>
      <c r="F9" s="7" t="s">
        <v>14</v>
      </c>
      <c r="G9" s="7"/>
      <c r="H9" s="7"/>
    </row>
    <row r="10" customFormat="false" ht="15" hidden="false" customHeight="false" outlineLevel="0" collapsed="false">
      <c r="A10" s="4" t="s">
        <v>10</v>
      </c>
      <c r="B10" s="5" t="s">
        <v>27</v>
      </c>
      <c r="C10" s="4" t="s">
        <v>28</v>
      </c>
      <c r="D10" s="4" t="s">
        <v>29</v>
      </c>
      <c r="E10" s="6" t="n">
        <v>2</v>
      </c>
      <c r="F10" s="7" t="s">
        <v>14</v>
      </c>
      <c r="G10" s="7"/>
      <c r="H10" s="7"/>
    </row>
    <row r="11" customFormat="false" ht="15" hidden="false" customHeight="false" outlineLevel="0" collapsed="false">
      <c r="A11" s="4" t="s">
        <v>10</v>
      </c>
      <c r="B11" s="5" t="s">
        <v>30</v>
      </c>
      <c r="C11" s="4" t="s">
        <v>31</v>
      </c>
      <c r="D11" s="4" t="s">
        <v>32</v>
      </c>
      <c r="E11" s="6"/>
      <c r="F11" s="7" t="s">
        <v>14</v>
      </c>
      <c r="G11" s="7"/>
      <c r="H11" s="7"/>
    </row>
    <row r="12" customFormat="false" ht="15" hidden="false" customHeight="false" outlineLevel="0" collapsed="false">
      <c r="A12" s="4" t="s">
        <v>10</v>
      </c>
      <c r="B12" s="5" t="s">
        <v>33</v>
      </c>
      <c r="C12" s="4" t="s">
        <v>34</v>
      </c>
      <c r="D12" s="4" t="s">
        <v>35</v>
      </c>
      <c r="E12" s="6"/>
      <c r="F12" s="7" t="s">
        <v>14</v>
      </c>
      <c r="G12" s="7"/>
      <c r="H12" s="7"/>
    </row>
    <row r="13" customFormat="false" ht="15" hidden="false" customHeight="false" outlineLevel="0" collapsed="false">
      <c r="A13" s="4" t="s">
        <v>10</v>
      </c>
      <c r="B13" s="5" t="s">
        <v>36</v>
      </c>
      <c r="C13" s="4" t="s">
        <v>37</v>
      </c>
      <c r="D13" s="4" t="s">
        <v>38</v>
      </c>
      <c r="E13" s="6"/>
      <c r="F13" s="7" t="s">
        <v>14</v>
      </c>
      <c r="G13" s="7"/>
      <c r="H13" s="7"/>
    </row>
    <row r="14" customFormat="false" ht="15" hidden="false" customHeight="false" outlineLevel="0" collapsed="false">
      <c r="A14" s="4" t="s">
        <v>10</v>
      </c>
      <c r="B14" s="5" t="s">
        <v>39</v>
      </c>
      <c r="C14" s="4" t="s">
        <v>40</v>
      </c>
      <c r="D14" s="4" t="s">
        <v>41</v>
      </c>
      <c r="E14" s="6"/>
      <c r="F14" s="7" t="s">
        <v>14</v>
      </c>
      <c r="G14" s="7"/>
      <c r="H14" s="7"/>
    </row>
    <row r="15" customFormat="false" ht="15" hidden="false" customHeight="false" outlineLevel="0" collapsed="false">
      <c r="A15" s="4" t="s">
        <v>42</v>
      </c>
      <c r="B15" s="5" t="s">
        <v>43</v>
      </c>
      <c r="C15" s="4" t="s">
        <v>44</v>
      </c>
      <c r="D15" s="4" t="s">
        <v>45</v>
      </c>
      <c r="E15" s="6" t="n">
        <v>4</v>
      </c>
      <c r="F15" s="7" t="s">
        <v>14</v>
      </c>
      <c r="G15" s="7"/>
      <c r="H15" s="7"/>
    </row>
    <row r="16" customFormat="false" ht="15" hidden="false" customHeight="false" outlineLevel="0" collapsed="false">
      <c r="A16" s="4" t="s">
        <v>42</v>
      </c>
      <c r="B16" s="5" t="s">
        <v>46</v>
      </c>
      <c r="C16" s="4" t="s">
        <v>47</v>
      </c>
      <c r="D16" s="4" t="s">
        <v>48</v>
      </c>
      <c r="E16" s="6" t="n">
        <v>4</v>
      </c>
      <c r="F16" s="7" t="s">
        <v>14</v>
      </c>
      <c r="G16" s="7"/>
      <c r="H16" s="7"/>
    </row>
    <row r="17" customFormat="false" ht="15" hidden="false" customHeight="false" outlineLevel="0" collapsed="false">
      <c r="A17" s="4" t="s">
        <v>42</v>
      </c>
      <c r="B17" s="5" t="s">
        <v>49</v>
      </c>
      <c r="C17" s="4" t="s">
        <v>50</v>
      </c>
      <c r="D17" s="4" t="s">
        <v>51</v>
      </c>
      <c r="E17" s="6" t="n">
        <v>4</v>
      </c>
      <c r="F17" s="7" t="s">
        <v>14</v>
      </c>
      <c r="G17" s="7"/>
      <c r="H17" s="7"/>
    </row>
    <row r="18" customFormat="false" ht="15" hidden="false" customHeight="false" outlineLevel="0" collapsed="false">
      <c r="A18" s="4" t="s">
        <v>42</v>
      </c>
      <c r="B18" s="5" t="s">
        <v>52</v>
      </c>
      <c r="C18" s="4" t="s">
        <v>53</v>
      </c>
      <c r="D18" s="4" t="s">
        <v>54</v>
      </c>
      <c r="E18" s="6"/>
      <c r="F18" s="7" t="s">
        <v>14</v>
      </c>
      <c r="G18" s="7"/>
      <c r="H18" s="7"/>
    </row>
    <row r="19" customFormat="false" ht="15" hidden="false" customHeight="false" outlineLevel="0" collapsed="false">
      <c r="A19" s="4" t="s">
        <v>42</v>
      </c>
      <c r="B19" s="5" t="s">
        <v>55</v>
      </c>
      <c r="C19" s="4" t="s">
        <v>56</v>
      </c>
      <c r="D19" s="4" t="s">
        <v>57</v>
      </c>
      <c r="E19" s="6"/>
      <c r="F19" s="7" t="s">
        <v>14</v>
      </c>
      <c r="G19" s="7"/>
      <c r="H19" s="7"/>
    </row>
    <row r="20" customFormat="false" ht="15" hidden="false" customHeight="false" outlineLevel="0" collapsed="false">
      <c r="A20" s="4" t="s">
        <v>42</v>
      </c>
      <c r="B20" s="5" t="s">
        <v>58</v>
      </c>
      <c r="C20" s="4" t="s">
        <v>59</v>
      </c>
      <c r="D20" s="4" t="s">
        <v>60</v>
      </c>
      <c r="E20" s="6"/>
      <c r="F20" s="7" t="s">
        <v>14</v>
      </c>
      <c r="G20" s="7"/>
      <c r="H20" s="7"/>
    </row>
    <row r="21" customFormat="false" ht="15" hidden="false" customHeight="false" outlineLevel="0" collapsed="false">
      <c r="A21" s="4" t="s">
        <v>42</v>
      </c>
      <c r="B21" s="5" t="s">
        <v>61</v>
      </c>
      <c r="C21" s="4" t="s">
        <v>62</v>
      </c>
      <c r="D21" s="4" t="s">
        <v>63</v>
      </c>
      <c r="E21" s="6"/>
      <c r="F21" s="7" t="s">
        <v>14</v>
      </c>
      <c r="G21" s="7"/>
      <c r="H21" s="7"/>
    </row>
    <row r="22" customFormat="false" ht="15" hidden="false" customHeight="false" outlineLevel="0" collapsed="false">
      <c r="A22" s="4" t="s">
        <v>42</v>
      </c>
      <c r="B22" s="5" t="s">
        <v>64</v>
      </c>
      <c r="C22" s="4" t="s">
        <v>65</v>
      </c>
      <c r="D22" s="4" t="s">
        <v>66</v>
      </c>
      <c r="E22" s="6"/>
      <c r="F22" s="7" t="s">
        <v>14</v>
      </c>
      <c r="G22" s="7"/>
      <c r="H22" s="7"/>
    </row>
    <row r="23" customFormat="false" ht="15" hidden="false" customHeight="false" outlineLevel="0" collapsed="false">
      <c r="A23" s="4" t="s">
        <v>42</v>
      </c>
      <c r="B23" s="5" t="s">
        <v>67</v>
      </c>
      <c r="C23" s="4" t="s">
        <v>68</v>
      </c>
      <c r="D23" s="4" t="s">
        <v>69</v>
      </c>
      <c r="E23" s="6"/>
      <c r="F23" s="7" t="s">
        <v>14</v>
      </c>
      <c r="G23" s="7"/>
      <c r="H23" s="7"/>
    </row>
    <row r="24" customFormat="false" ht="15" hidden="false" customHeight="false" outlineLevel="0" collapsed="false">
      <c r="A24" s="4" t="s">
        <v>70</v>
      </c>
      <c r="B24" s="5" t="s">
        <v>71</v>
      </c>
      <c r="C24" s="4" t="s">
        <v>72</v>
      </c>
      <c r="D24" s="4" t="s">
        <v>73</v>
      </c>
      <c r="E24" s="6" t="n">
        <v>5</v>
      </c>
      <c r="F24" s="7" t="s">
        <v>14</v>
      </c>
      <c r="G24" s="7"/>
      <c r="H24" s="7"/>
    </row>
    <row r="25" customFormat="false" ht="15" hidden="false" customHeight="false" outlineLevel="0" collapsed="false">
      <c r="A25" s="4" t="s">
        <v>70</v>
      </c>
      <c r="B25" s="5" t="s">
        <v>74</v>
      </c>
      <c r="C25" s="4" t="s">
        <v>75</v>
      </c>
      <c r="D25" s="4" t="s">
        <v>76</v>
      </c>
      <c r="E25" s="6"/>
      <c r="F25" s="7" t="s">
        <v>14</v>
      </c>
      <c r="G25" s="7"/>
      <c r="H25" s="7"/>
    </row>
    <row r="26" customFormat="false" ht="15" hidden="false" customHeight="false" outlineLevel="0" collapsed="false">
      <c r="A26" s="4" t="s">
        <v>70</v>
      </c>
      <c r="B26" s="5" t="s">
        <v>77</v>
      </c>
      <c r="C26" s="4" t="s">
        <v>78</v>
      </c>
      <c r="D26" s="4" t="s">
        <v>79</v>
      </c>
      <c r="E26" s="6" t="n">
        <v>5</v>
      </c>
      <c r="F26" s="7" t="s">
        <v>14</v>
      </c>
      <c r="G26" s="7"/>
      <c r="H26" s="7"/>
    </row>
    <row r="27" customFormat="false" ht="15" hidden="false" customHeight="false" outlineLevel="0" collapsed="false">
      <c r="A27" s="4" t="s">
        <v>70</v>
      </c>
      <c r="B27" s="5" t="s">
        <v>80</v>
      </c>
      <c r="C27" s="4" t="s">
        <v>81</v>
      </c>
      <c r="D27" s="4" t="s">
        <v>82</v>
      </c>
      <c r="E27" s="6"/>
      <c r="F27" s="7" t="s">
        <v>14</v>
      </c>
      <c r="G27" s="7"/>
      <c r="H27" s="7"/>
    </row>
    <row r="28" customFormat="false" ht="15" hidden="false" customHeight="false" outlineLevel="0" collapsed="false">
      <c r="A28" s="4" t="s">
        <v>70</v>
      </c>
      <c r="B28" s="5" t="s">
        <v>83</v>
      </c>
      <c r="C28" s="4" t="s">
        <v>84</v>
      </c>
      <c r="D28" s="4" t="s">
        <v>85</v>
      </c>
      <c r="E28" s="6"/>
      <c r="F28" s="7" t="s">
        <v>14</v>
      </c>
      <c r="G28" s="7"/>
      <c r="H28" s="7"/>
    </row>
    <row r="29" customFormat="false" ht="15" hidden="false" customHeight="false" outlineLevel="0" collapsed="false">
      <c r="A29" s="4" t="s">
        <v>70</v>
      </c>
      <c r="B29" s="5" t="s">
        <v>86</v>
      </c>
      <c r="C29" s="4" t="s">
        <v>87</v>
      </c>
      <c r="D29" s="4" t="s">
        <v>88</v>
      </c>
      <c r="E29" s="6"/>
      <c r="F29" s="7" t="s">
        <v>14</v>
      </c>
      <c r="G29" s="7"/>
      <c r="H29" s="7"/>
    </row>
    <row r="30" customFormat="false" ht="15" hidden="false" customHeight="false" outlineLevel="0" collapsed="false">
      <c r="A30" s="4" t="s">
        <v>70</v>
      </c>
      <c r="B30" s="5" t="s">
        <v>89</v>
      </c>
      <c r="C30" s="4" t="s">
        <v>90</v>
      </c>
      <c r="D30" s="4" t="s">
        <v>91</v>
      </c>
      <c r="E30" s="6" t="n">
        <v>5</v>
      </c>
      <c r="F30" s="7" t="s">
        <v>14</v>
      </c>
      <c r="G30" s="7"/>
      <c r="H30" s="7"/>
    </row>
    <row r="31" customFormat="false" ht="15" hidden="false" customHeight="false" outlineLevel="0" collapsed="false">
      <c r="A31" s="4" t="s">
        <v>70</v>
      </c>
      <c r="B31" s="5" t="s">
        <v>92</v>
      </c>
      <c r="C31" s="4" t="s">
        <v>93</v>
      </c>
      <c r="D31" s="4" t="s">
        <v>94</v>
      </c>
      <c r="E31" s="6"/>
      <c r="F31" s="7" t="s">
        <v>14</v>
      </c>
      <c r="G31" s="7"/>
      <c r="H31" s="7"/>
    </row>
    <row r="32" customFormat="false" ht="15" hidden="false" customHeight="false" outlineLevel="0" collapsed="false">
      <c r="A32" s="4" t="s">
        <v>70</v>
      </c>
      <c r="B32" s="5" t="s">
        <v>95</v>
      </c>
      <c r="C32" s="4" t="s">
        <v>96</v>
      </c>
      <c r="D32" s="4" t="s">
        <v>97</v>
      </c>
      <c r="E32" s="6"/>
      <c r="F32" s="7" t="s">
        <v>14</v>
      </c>
      <c r="G32" s="7"/>
      <c r="H32" s="7"/>
    </row>
    <row r="33" customFormat="false" ht="15" hidden="false" customHeight="false" outlineLevel="0" collapsed="false">
      <c r="A33" s="4" t="s">
        <v>70</v>
      </c>
      <c r="B33" s="5" t="s">
        <v>98</v>
      </c>
      <c r="C33" s="4" t="s">
        <v>99</v>
      </c>
      <c r="D33" s="4" t="s">
        <v>100</v>
      </c>
      <c r="E33" s="6"/>
      <c r="F33" s="7" t="s">
        <v>14</v>
      </c>
      <c r="G33" s="7"/>
      <c r="H33" s="7"/>
    </row>
    <row r="34" customFormat="false" ht="15" hidden="false" customHeight="false" outlineLevel="0" collapsed="false">
      <c r="A34" s="4" t="s">
        <v>101</v>
      </c>
      <c r="B34" s="5" t="s">
        <v>102</v>
      </c>
      <c r="C34" s="4" t="s">
        <v>103</v>
      </c>
      <c r="D34" s="4" t="s">
        <v>104</v>
      </c>
      <c r="E34" s="6"/>
      <c r="F34" s="7" t="s">
        <v>14</v>
      </c>
      <c r="G34" s="7"/>
      <c r="H34" s="7"/>
    </row>
    <row r="35" customFormat="false" ht="15" hidden="false" customHeight="false" outlineLevel="0" collapsed="false">
      <c r="A35" s="4" t="s">
        <v>101</v>
      </c>
      <c r="B35" s="5" t="s">
        <v>105</v>
      </c>
      <c r="C35" s="4" t="s">
        <v>106</v>
      </c>
      <c r="D35" s="4" t="s">
        <v>107</v>
      </c>
      <c r="E35" s="6"/>
      <c r="F35" s="7" t="s">
        <v>14</v>
      </c>
      <c r="G35" s="7"/>
      <c r="H35" s="7"/>
    </row>
    <row r="36" customFormat="false" ht="15" hidden="false" customHeight="false" outlineLevel="0" collapsed="false">
      <c r="A36" s="4" t="s">
        <v>101</v>
      </c>
      <c r="B36" s="5" t="s">
        <v>108</v>
      </c>
      <c r="C36" s="4" t="s">
        <v>109</v>
      </c>
      <c r="D36" s="4" t="s">
        <v>110</v>
      </c>
      <c r="E36" s="6" t="n">
        <v>3</v>
      </c>
      <c r="F36" s="7" t="s">
        <v>14</v>
      </c>
      <c r="G36" s="7"/>
      <c r="H36" s="7"/>
    </row>
    <row r="37" customFormat="false" ht="15" hidden="false" customHeight="false" outlineLevel="0" collapsed="false">
      <c r="A37" s="4" t="s">
        <v>101</v>
      </c>
      <c r="B37" s="5" t="s">
        <v>111</v>
      </c>
      <c r="C37" s="4" t="s">
        <v>112</v>
      </c>
      <c r="D37" s="4" t="s">
        <v>113</v>
      </c>
      <c r="E37" s="6"/>
      <c r="F37" s="7" t="s">
        <v>14</v>
      </c>
      <c r="G37" s="7"/>
      <c r="H37" s="7"/>
    </row>
    <row r="38" customFormat="false" ht="15" hidden="false" customHeight="false" outlineLevel="0" collapsed="false">
      <c r="A38" s="4" t="s">
        <v>101</v>
      </c>
      <c r="B38" s="5" t="s">
        <v>114</v>
      </c>
      <c r="C38" s="4" t="s">
        <v>115</v>
      </c>
      <c r="D38" s="4" t="s">
        <v>116</v>
      </c>
      <c r="E38" s="6"/>
      <c r="F38" s="7" t="s">
        <v>14</v>
      </c>
      <c r="G38" s="7"/>
      <c r="H38" s="7"/>
    </row>
    <row r="39" customFormat="false" ht="15" hidden="false" customHeight="false" outlineLevel="0" collapsed="false">
      <c r="A39" s="4" t="s">
        <v>101</v>
      </c>
      <c r="B39" s="5" t="s">
        <v>117</v>
      </c>
      <c r="C39" s="4" t="s">
        <v>118</v>
      </c>
      <c r="D39" s="4" t="s">
        <v>119</v>
      </c>
      <c r="E39" s="6"/>
      <c r="F39" s="7" t="s">
        <v>14</v>
      </c>
      <c r="G39" s="7"/>
      <c r="H39" s="7"/>
    </row>
    <row r="40" customFormat="false" ht="15" hidden="false" customHeight="false" outlineLevel="0" collapsed="false">
      <c r="A40" s="4" t="s">
        <v>101</v>
      </c>
      <c r="B40" s="5" t="s">
        <v>120</v>
      </c>
      <c r="C40" s="4" t="s">
        <v>121</v>
      </c>
      <c r="D40" s="4" t="s">
        <v>122</v>
      </c>
      <c r="E40" s="6"/>
      <c r="F40" s="7" t="s">
        <v>14</v>
      </c>
      <c r="G40" s="7"/>
      <c r="H40" s="7"/>
    </row>
    <row r="41" customFormat="false" ht="15" hidden="false" customHeight="false" outlineLevel="0" collapsed="false">
      <c r="A41" s="4" t="s">
        <v>101</v>
      </c>
      <c r="B41" s="5" t="s">
        <v>123</v>
      </c>
      <c r="C41" s="4" t="s">
        <v>124</v>
      </c>
      <c r="D41" s="4" t="s">
        <v>125</v>
      </c>
      <c r="E41" s="6"/>
      <c r="F41" s="7" t="s">
        <v>14</v>
      </c>
      <c r="G41" s="7"/>
      <c r="H41" s="7"/>
    </row>
    <row r="42" customFormat="false" ht="15" hidden="false" customHeight="false" outlineLevel="0" collapsed="false">
      <c r="A42" s="4" t="s">
        <v>126</v>
      </c>
      <c r="B42" s="5" t="s">
        <v>127</v>
      </c>
      <c r="C42" s="4" t="s">
        <v>128</v>
      </c>
      <c r="D42" s="4" t="s">
        <v>129</v>
      </c>
      <c r="E42" s="6"/>
      <c r="F42" s="7" t="s">
        <v>14</v>
      </c>
      <c r="G42" s="7"/>
      <c r="H42" s="7"/>
    </row>
    <row r="43" customFormat="false" ht="15" hidden="false" customHeight="false" outlineLevel="0" collapsed="false">
      <c r="A43" s="4" t="s">
        <v>126</v>
      </c>
      <c r="B43" s="5" t="s">
        <v>130</v>
      </c>
      <c r="C43" s="4" t="s">
        <v>131</v>
      </c>
      <c r="D43" s="4" t="s">
        <v>132</v>
      </c>
      <c r="E43" s="6"/>
      <c r="F43" s="7" t="s">
        <v>14</v>
      </c>
      <c r="G43" s="7"/>
      <c r="H43" s="7"/>
    </row>
    <row r="44" customFormat="false" ht="15" hidden="false" customHeight="false" outlineLevel="0" collapsed="false">
      <c r="A44" s="4" t="s">
        <v>126</v>
      </c>
      <c r="B44" s="5" t="s">
        <v>133</v>
      </c>
      <c r="C44" s="4" t="s">
        <v>134</v>
      </c>
      <c r="D44" s="4" t="s">
        <v>135</v>
      </c>
      <c r="E44" s="6" t="n">
        <v>3</v>
      </c>
      <c r="F44" s="7" t="s">
        <v>14</v>
      </c>
      <c r="G44" s="7"/>
      <c r="H44" s="7"/>
    </row>
    <row r="45" customFormat="false" ht="15" hidden="false" customHeight="false" outlineLevel="0" collapsed="false">
      <c r="A45" s="4" t="s">
        <v>126</v>
      </c>
      <c r="B45" s="5" t="s">
        <v>136</v>
      </c>
      <c r="C45" s="4" t="s">
        <v>137</v>
      </c>
      <c r="D45" s="4" t="s">
        <v>138</v>
      </c>
      <c r="E45" s="6"/>
      <c r="F45" s="7" t="s">
        <v>14</v>
      </c>
      <c r="G45" s="7"/>
      <c r="H45" s="7"/>
    </row>
    <row r="46" customFormat="false" ht="15" hidden="false" customHeight="false" outlineLevel="0" collapsed="false">
      <c r="A46" s="4" t="s">
        <v>126</v>
      </c>
      <c r="B46" s="5" t="s">
        <v>139</v>
      </c>
      <c r="C46" s="4" t="s">
        <v>140</v>
      </c>
      <c r="D46" s="4" t="s">
        <v>141</v>
      </c>
      <c r="E46" s="6"/>
      <c r="F46" s="7" t="s">
        <v>14</v>
      </c>
      <c r="G46" s="7"/>
      <c r="H46" s="7"/>
    </row>
    <row r="47" customFormat="false" ht="15" hidden="false" customHeight="false" outlineLevel="0" collapsed="false">
      <c r="A47" s="4" t="s">
        <v>126</v>
      </c>
      <c r="B47" s="5" t="s">
        <v>142</v>
      </c>
      <c r="C47" s="4" t="s">
        <v>143</v>
      </c>
      <c r="D47" s="4" t="s">
        <v>144</v>
      </c>
      <c r="E47" s="6"/>
      <c r="F47" s="7" t="s">
        <v>14</v>
      </c>
      <c r="G47" s="7"/>
      <c r="H47" s="7"/>
    </row>
    <row r="48" customFormat="false" ht="23.85" hidden="false" customHeight="false" outlineLevel="0" collapsed="false">
      <c r="A48" s="4" t="s">
        <v>126</v>
      </c>
      <c r="B48" s="5" t="s">
        <v>145</v>
      </c>
      <c r="C48" s="4" t="s">
        <v>146</v>
      </c>
      <c r="D48" s="4" t="s">
        <v>147</v>
      </c>
      <c r="E48" s="6"/>
      <c r="F48" s="7" t="s">
        <v>14</v>
      </c>
      <c r="G48" s="7"/>
      <c r="H48" s="7"/>
    </row>
    <row r="49" customFormat="false" ht="15" hidden="false" customHeight="false" outlineLevel="0" collapsed="false">
      <c r="A49" s="4" t="s">
        <v>126</v>
      </c>
      <c r="B49" s="5" t="s">
        <v>148</v>
      </c>
      <c r="C49" s="4" t="s">
        <v>149</v>
      </c>
      <c r="D49" s="4" t="s">
        <v>150</v>
      </c>
      <c r="E49" s="6"/>
      <c r="F49" s="7" t="s">
        <v>14</v>
      </c>
      <c r="G49" s="7"/>
      <c r="H49" s="7"/>
    </row>
    <row r="50" customFormat="false" ht="15" hidden="false" customHeight="false" outlineLevel="0" collapsed="false">
      <c r="A50" s="4" t="s">
        <v>151</v>
      </c>
      <c r="B50" s="5" t="s">
        <v>152</v>
      </c>
      <c r="C50" s="4" t="s">
        <v>153</v>
      </c>
      <c r="D50" s="4" t="s">
        <v>154</v>
      </c>
      <c r="E50" s="6" t="n">
        <v>6</v>
      </c>
      <c r="F50" s="7" t="s">
        <v>14</v>
      </c>
      <c r="G50" s="7"/>
      <c r="H50" s="7"/>
    </row>
    <row r="51" customFormat="false" ht="15" hidden="false" customHeight="false" outlineLevel="0" collapsed="false">
      <c r="A51" s="4" t="s">
        <v>151</v>
      </c>
      <c r="B51" s="5" t="s">
        <v>155</v>
      </c>
      <c r="C51" s="4" t="s">
        <v>156</v>
      </c>
      <c r="D51" s="4" t="s">
        <v>157</v>
      </c>
      <c r="E51" s="6"/>
      <c r="F51" s="7" t="s">
        <v>14</v>
      </c>
      <c r="G51" s="7"/>
      <c r="H51" s="7"/>
    </row>
    <row r="52" customFormat="false" ht="15" hidden="false" customHeight="false" outlineLevel="0" collapsed="false">
      <c r="A52" s="4" t="s">
        <v>151</v>
      </c>
      <c r="B52" s="5" t="s">
        <v>158</v>
      </c>
      <c r="C52" s="4" t="s">
        <v>159</v>
      </c>
      <c r="D52" s="4" t="s">
        <v>160</v>
      </c>
      <c r="E52" s="6"/>
      <c r="F52" s="7" t="s">
        <v>14</v>
      </c>
      <c r="G52" s="7"/>
      <c r="H52" s="7"/>
    </row>
    <row r="53" customFormat="false" ht="15" hidden="false" customHeight="false" outlineLevel="0" collapsed="false">
      <c r="A53" s="4" t="s">
        <v>151</v>
      </c>
      <c r="B53" s="5" t="s">
        <v>161</v>
      </c>
      <c r="C53" s="4" t="s">
        <v>162</v>
      </c>
      <c r="D53" s="4" t="s">
        <v>163</v>
      </c>
      <c r="E53" s="6" t="n">
        <v>6</v>
      </c>
      <c r="F53" s="7" t="s">
        <v>14</v>
      </c>
      <c r="G53" s="7"/>
      <c r="H53" s="7"/>
    </row>
    <row r="54" customFormat="false" ht="15" hidden="false" customHeight="false" outlineLevel="0" collapsed="false">
      <c r="A54" s="4" t="s">
        <v>151</v>
      </c>
      <c r="B54" s="5" t="s">
        <v>164</v>
      </c>
      <c r="C54" s="4" t="s">
        <v>165</v>
      </c>
      <c r="D54" s="4" t="s">
        <v>166</v>
      </c>
      <c r="E54" s="6"/>
      <c r="F54" s="7" t="s">
        <v>14</v>
      </c>
      <c r="G54" s="7"/>
      <c r="H54" s="7"/>
    </row>
    <row r="55" customFormat="false" ht="15" hidden="false" customHeight="false" outlineLevel="0" collapsed="false">
      <c r="A55" s="4" t="s">
        <v>151</v>
      </c>
      <c r="B55" s="5" t="s">
        <v>167</v>
      </c>
      <c r="C55" s="4" t="s">
        <v>168</v>
      </c>
      <c r="D55" s="4" t="s">
        <v>169</v>
      </c>
      <c r="E55" s="6"/>
      <c r="F55" s="7" t="s">
        <v>14</v>
      </c>
      <c r="G55" s="7"/>
      <c r="H55" s="7"/>
    </row>
    <row r="56" customFormat="false" ht="15" hidden="false" customHeight="false" outlineLevel="0" collapsed="false">
      <c r="A56" s="4" t="s">
        <v>151</v>
      </c>
      <c r="B56" s="5" t="s">
        <v>170</v>
      </c>
      <c r="C56" s="4" t="s">
        <v>171</v>
      </c>
      <c r="D56" s="4" t="s">
        <v>172</v>
      </c>
      <c r="E56" s="6"/>
      <c r="F56" s="7" t="s">
        <v>14</v>
      </c>
      <c r="G56" s="7"/>
      <c r="H56" s="7"/>
    </row>
    <row r="57" customFormat="false" ht="15" hidden="false" customHeight="false" outlineLevel="0" collapsed="false">
      <c r="A57" s="4" t="s">
        <v>151</v>
      </c>
      <c r="B57" s="5" t="s">
        <v>173</v>
      </c>
      <c r="C57" s="4" t="s">
        <v>174</v>
      </c>
      <c r="D57" s="4" t="s">
        <v>175</v>
      </c>
      <c r="E57" s="6"/>
      <c r="F57" s="7" t="s">
        <v>14</v>
      </c>
      <c r="G57" s="7"/>
      <c r="H57" s="7"/>
    </row>
    <row r="58" customFormat="false" ht="15" hidden="false" customHeight="false" outlineLevel="0" collapsed="false">
      <c r="A58" s="4" t="s">
        <v>151</v>
      </c>
      <c r="B58" s="5" t="s">
        <v>176</v>
      </c>
      <c r="C58" s="4" t="s">
        <v>177</v>
      </c>
      <c r="D58" s="4" t="s">
        <v>178</v>
      </c>
      <c r="E58" s="6"/>
      <c r="F58" s="7" t="s">
        <v>14</v>
      </c>
      <c r="G58" s="7"/>
      <c r="H58" s="7"/>
    </row>
    <row r="59" customFormat="false" ht="15" hidden="false" customHeight="false" outlineLevel="0" collapsed="false">
      <c r="A59" s="4" t="s">
        <v>179</v>
      </c>
      <c r="B59" s="5" t="s">
        <v>180</v>
      </c>
      <c r="C59" s="4" t="s">
        <v>181</v>
      </c>
      <c r="D59" s="4" t="s">
        <v>182</v>
      </c>
      <c r="E59" s="6" t="n">
        <v>7</v>
      </c>
      <c r="F59" s="7" t="s">
        <v>14</v>
      </c>
      <c r="G59" s="7"/>
      <c r="H59" s="7"/>
    </row>
    <row r="60" customFormat="false" ht="15" hidden="false" customHeight="false" outlineLevel="0" collapsed="false">
      <c r="A60" s="4" t="s">
        <v>179</v>
      </c>
      <c r="B60" s="5" t="s">
        <v>183</v>
      </c>
      <c r="C60" s="4" t="s">
        <v>184</v>
      </c>
      <c r="D60" s="4" t="s">
        <v>185</v>
      </c>
      <c r="E60" s="6" t="n">
        <v>7</v>
      </c>
      <c r="F60" s="7" t="s">
        <v>14</v>
      </c>
      <c r="G60" s="7"/>
      <c r="H60" s="7"/>
    </row>
    <row r="61" customFormat="false" ht="15" hidden="false" customHeight="false" outlineLevel="0" collapsed="false">
      <c r="A61" s="4" t="s">
        <v>179</v>
      </c>
      <c r="B61" s="5" t="s">
        <v>186</v>
      </c>
      <c r="C61" s="4" t="s">
        <v>187</v>
      </c>
      <c r="D61" s="4" t="s">
        <v>188</v>
      </c>
      <c r="E61" s="6"/>
      <c r="F61" s="7" t="s">
        <v>14</v>
      </c>
      <c r="G61" s="7"/>
      <c r="H61" s="7"/>
    </row>
    <row r="62" customFormat="false" ht="15" hidden="false" customHeight="false" outlineLevel="0" collapsed="false">
      <c r="A62" s="4" t="s">
        <v>179</v>
      </c>
      <c r="B62" s="5" t="s">
        <v>189</v>
      </c>
      <c r="C62" s="4" t="s">
        <v>190</v>
      </c>
      <c r="D62" s="4" t="s">
        <v>191</v>
      </c>
      <c r="E62" s="6"/>
      <c r="F62" s="7" t="s">
        <v>14</v>
      </c>
      <c r="G62" s="7"/>
      <c r="H62" s="7"/>
    </row>
    <row r="63" customFormat="false" ht="15" hidden="false" customHeight="false" outlineLevel="0" collapsed="false">
      <c r="A63" s="4" t="s">
        <v>179</v>
      </c>
      <c r="B63" s="5" t="s">
        <v>192</v>
      </c>
      <c r="C63" s="4" t="s">
        <v>193</v>
      </c>
      <c r="D63" s="4" t="s">
        <v>194</v>
      </c>
      <c r="E63" s="6"/>
      <c r="F63" s="7" t="s">
        <v>14</v>
      </c>
      <c r="G63" s="7"/>
      <c r="H63" s="7"/>
    </row>
    <row r="64" customFormat="false" ht="15" hidden="false" customHeight="false" outlineLevel="0" collapsed="false">
      <c r="A64" s="4" t="s">
        <v>195</v>
      </c>
      <c r="B64" s="5" t="s">
        <v>196</v>
      </c>
      <c r="C64" s="4" t="s">
        <v>197</v>
      </c>
      <c r="D64" s="4" t="s">
        <v>198</v>
      </c>
      <c r="E64" s="6"/>
      <c r="F64" s="7" t="s">
        <v>14</v>
      </c>
      <c r="G64" s="7"/>
      <c r="H64" s="7"/>
    </row>
    <row r="65" customFormat="false" ht="15" hidden="false" customHeight="false" outlineLevel="0" collapsed="false">
      <c r="A65" s="4" t="s">
        <v>195</v>
      </c>
      <c r="B65" s="5" t="s">
        <v>199</v>
      </c>
      <c r="C65" s="4" t="s">
        <v>200</v>
      </c>
      <c r="D65" s="4" t="s">
        <v>201</v>
      </c>
      <c r="E65" s="6"/>
      <c r="F65" s="7" t="s">
        <v>14</v>
      </c>
      <c r="G65" s="7"/>
      <c r="H65" s="7"/>
    </row>
    <row r="66" customFormat="false" ht="15" hidden="false" customHeight="false" outlineLevel="0" collapsed="false">
      <c r="A66" s="4" t="s">
        <v>195</v>
      </c>
      <c r="B66" s="5" t="s">
        <v>202</v>
      </c>
      <c r="C66" s="4" t="s">
        <v>203</v>
      </c>
      <c r="D66" s="4" t="s">
        <v>204</v>
      </c>
      <c r="E66" s="6"/>
      <c r="F66" s="7" t="s">
        <v>14</v>
      </c>
      <c r="G66" s="7"/>
      <c r="H66" s="7"/>
    </row>
    <row r="67" customFormat="false" ht="15" hidden="false" customHeight="false" outlineLevel="0" collapsed="false">
      <c r="A67" s="4" t="s">
        <v>195</v>
      </c>
      <c r="B67" s="5" t="s">
        <v>205</v>
      </c>
      <c r="C67" s="4" t="s">
        <v>206</v>
      </c>
      <c r="D67" s="4" t="s">
        <v>207</v>
      </c>
      <c r="E67" s="6"/>
      <c r="F67" s="7" t="s">
        <v>14</v>
      </c>
      <c r="G67" s="7"/>
      <c r="H67" s="7"/>
    </row>
    <row r="68" customFormat="false" ht="15" hidden="false" customHeight="false" outlineLevel="0" collapsed="false">
      <c r="A68" s="4" t="s">
        <v>195</v>
      </c>
      <c r="B68" s="5" t="s">
        <v>208</v>
      </c>
      <c r="C68" s="4" t="s">
        <v>209</v>
      </c>
      <c r="D68" s="4" t="s">
        <v>210</v>
      </c>
      <c r="E68" s="6"/>
      <c r="F68" s="7" t="s">
        <v>14</v>
      </c>
      <c r="G68" s="7"/>
      <c r="H68" s="7"/>
    </row>
  </sheetData>
  <autoFilter ref="A4:H68"/>
  <mergeCells count="1">
    <mergeCell ref="A2:H2"/>
  </mergeCells>
  <dataValidations count="1">
    <dataValidation allowBlank="false" errorStyle="stop" operator="between" showDropDown="false" showErrorMessage="false" showInputMessage="false" sqref="F5:F68" type="list">
      <formula1>"Not started,In progress,Done,Not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64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211</v>
      </c>
    </row>
    <row r="3" customFormat="false" ht="15" hidden="false" customHeight="false" outlineLevel="0" collapsed="false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</row>
    <row r="4" customFormat="false" ht="15" hidden="false" customHeight="false" outlineLevel="0" collapsed="false">
      <c r="A4" s="6" t="n">
        <v>1</v>
      </c>
      <c r="B4" s="4" t="s">
        <v>218</v>
      </c>
      <c r="C4" s="4" t="s">
        <v>219</v>
      </c>
      <c r="D4" s="4" t="n">
        <f aca="false">COUNTIF(Concepts!$E$5:$E$68,A4)</f>
        <v>2</v>
      </c>
      <c r="E4" s="4" t="n">
        <f aca="false">COUNTIFS(Concepts!$E$5:$E$68,A4,Concepts!$F$5:$F$68,"Done")</f>
        <v>0</v>
      </c>
      <c r="F4" s="8" t="n">
        <f aca="false">IF(D4=0,0,E4/D4)</f>
        <v>0</v>
      </c>
    </row>
    <row r="5" customFormat="false" ht="15" hidden="false" customHeight="false" outlineLevel="0" collapsed="false">
      <c r="A5" s="6" t="n">
        <v>2</v>
      </c>
      <c r="B5" s="4" t="s">
        <v>220</v>
      </c>
      <c r="C5" s="4" t="s">
        <v>221</v>
      </c>
      <c r="D5" s="4" t="n">
        <f aca="false">COUNTIF(Concepts!$E$5:$E$68,A5)</f>
        <v>2</v>
      </c>
      <c r="E5" s="4" t="n">
        <f aca="false">COUNTIFS(Concepts!$E$5:$E$68,A5,Concepts!$F$5:$F$68,"Done")</f>
        <v>0</v>
      </c>
      <c r="F5" s="8" t="n">
        <f aca="false">IF(D5=0,0,E5/D5)</f>
        <v>0</v>
      </c>
    </row>
    <row r="6" customFormat="false" ht="15" hidden="false" customHeight="false" outlineLevel="0" collapsed="false">
      <c r="A6" s="6" t="n">
        <v>3</v>
      </c>
      <c r="B6" s="4" t="s">
        <v>222</v>
      </c>
      <c r="C6" s="4" t="s">
        <v>223</v>
      </c>
      <c r="D6" s="4" t="n">
        <f aca="false">COUNTIF(Concepts!$E$5:$E$68,A6)</f>
        <v>2</v>
      </c>
      <c r="E6" s="4" t="n">
        <f aca="false">COUNTIFS(Concepts!$E$5:$E$68,A6,Concepts!$F$5:$F$68,"Done")</f>
        <v>0</v>
      </c>
      <c r="F6" s="8" t="n">
        <f aca="false">IF(D6=0,0,E6/D6)</f>
        <v>0</v>
      </c>
    </row>
    <row r="7" customFormat="false" ht="15" hidden="false" customHeight="false" outlineLevel="0" collapsed="false">
      <c r="A7" s="6" t="n">
        <v>4</v>
      </c>
      <c r="B7" s="4" t="s">
        <v>224</v>
      </c>
      <c r="C7" s="4" t="s">
        <v>225</v>
      </c>
      <c r="D7" s="4" t="n">
        <f aca="false">COUNTIF(Concepts!$E$5:$E$68,A7)</f>
        <v>3</v>
      </c>
      <c r="E7" s="4" t="n">
        <f aca="false">COUNTIFS(Concepts!$E$5:$E$68,A7,Concepts!$F$5:$F$68,"Done")</f>
        <v>0</v>
      </c>
      <c r="F7" s="8" t="n">
        <f aca="false">IF(D7=0,0,E7/D7)</f>
        <v>0</v>
      </c>
    </row>
    <row r="8" customFormat="false" ht="15" hidden="false" customHeight="false" outlineLevel="0" collapsed="false">
      <c r="A8" s="6" t="n">
        <v>5</v>
      </c>
      <c r="B8" s="4" t="s">
        <v>226</v>
      </c>
      <c r="C8" s="4" t="s">
        <v>227</v>
      </c>
      <c r="D8" s="4" t="n">
        <f aca="false">COUNTIF(Concepts!$E$5:$E$68,A8)</f>
        <v>3</v>
      </c>
      <c r="E8" s="4" t="n">
        <f aca="false">COUNTIFS(Concepts!$E$5:$E$68,A8,Concepts!$F$5:$F$68,"Done")</f>
        <v>0</v>
      </c>
      <c r="F8" s="8" t="n">
        <f aca="false">IF(D8=0,0,E8/D8)</f>
        <v>0</v>
      </c>
    </row>
    <row r="9" customFormat="false" ht="15" hidden="false" customHeight="false" outlineLevel="0" collapsed="false">
      <c r="A9" s="6" t="n">
        <v>6</v>
      </c>
      <c r="B9" s="4" t="s">
        <v>228</v>
      </c>
      <c r="C9" s="4" t="s">
        <v>229</v>
      </c>
      <c r="D9" s="4" t="n">
        <f aca="false">COUNTIF(Concepts!$E$5:$E$68,A9)</f>
        <v>2</v>
      </c>
      <c r="E9" s="4" t="n">
        <f aca="false">COUNTIFS(Concepts!$E$5:$E$68,A9,Concepts!$F$5:$F$68,"Done")</f>
        <v>0</v>
      </c>
      <c r="F9" s="8" t="n">
        <f aca="false">IF(D9=0,0,E9/D9)</f>
        <v>0</v>
      </c>
    </row>
    <row r="10" customFormat="false" ht="15" hidden="false" customHeight="false" outlineLevel="0" collapsed="false">
      <c r="A10" s="6" t="n">
        <v>7</v>
      </c>
      <c r="B10" s="4" t="s">
        <v>230</v>
      </c>
      <c r="C10" s="4" t="s">
        <v>231</v>
      </c>
      <c r="D10" s="4" t="n">
        <f aca="false">COUNTIF(Concepts!$E$5:$E$68,A10)</f>
        <v>2</v>
      </c>
      <c r="E10" s="4" t="n">
        <f aca="false">COUNTIFS(Concepts!$E$5:$E$68,A10,Concepts!$F$5:$F$68,"Done")</f>
        <v>0</v>
      </c>
      <c r="F10" s="8" t="n">
        <f aca="false">IF(D10=0,0,E10/D10)</f>
        <v>0</v>
      </c>
    </row>
    <row r="12" customFormat="false" ht="15" hidden="false" customHeight="false" outlineLevel="0" collapsed="false">
      <c r="A12" s="9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233</v>
      </c>
    </row>
    <row r="3" customFormat="false" ht="23.85" hidden="false" customHeight="false" outlineLevel="0" collapsed="false">
      <c r="A3" s="3" t="s">
        <v>2</v>
      </c>
      <c r="B3" s="3" t="s">
        <v>234</v>
      </c>
      <c r="C3" s="3" t="s">
        <v>14</v>
      </c>
      <c r="D3" s="3" t="s">
        <v>235</v>
      </c>
      <c r="E3" s="3" t="s">
        <v>216</v>
      </c>
      <c r="F3" s="3" t="s">
        <v>236</v>
      </c>
      <c r="G3" s="3" t="s">
        <v>237</v>
      </c>
    </row>
    <row r="4" customFormat="false" ht="15" hidden="false" customHeight="false" outlineLevel="0" collapsed="false">
      <c r="A4" s="10" t="s">
        <v>10</v>
      </c>
      <c r="B4" s="10" t="n">
        <f aca="false">COUNTIF(Concepts!$A$5:$A$68,A4)</f>
        <v>10</v>
      </c>
      <c r="C4" s="10" t="n">
        <f aca="false">COUNTIFS(Concepts!$A$5:$A$68,$A4,Concepts!$F$5:$F$68,"Not started")</f>
        <v>10</v>
      </c>
      <c r="D4" s="10" t="n">
        <f aca="false">COUNTIFS(Concepts!$A$5:$A$68,$A4,Concepts!$F$5:$F$68,"In progress")</f>
        <v>0</v>
      </c>
      <c r="E4" s="10" t="n">
        <f aca="false">COUNTIFS(Concepts!$A$5:$A$68,$A4,Concepts!$F$5:$F$68,"Done")</f>
        <v>0</v>
      </c>
      <c r="F4" s="10" t="n">
        <f aca="false">COUNTIFS(Concepts!$A$5:$A$68,$A4,Concepts!$F$5:$F$68,"Not needed")</f>
        <v>0</v>
      </c>
      <c r="G4" s="11" t="n">
        <f aca="false">IF(B4-F4=0,0,E4/(B4-F4))</f>
        <v>0</v>
      </c>
    </row>
    <row r="5" customFormat="false" ht="15" hidden="false" customHeight="false" outlineLevel="0" collapsed="false">
      <c r="A5" s="10" t="s">
        <v>42</v>
      </c>
      <c r="B5" s="10" t="n">
        <f aca="false">COUNTIF(Concepts!$A$5:$A$68,A5)</f>
        <v>9</v>
      </c>
      <c r="C5" s="10" t="n">
        <f aca="false">COUNTIFS(Concepts!$A$5:$A$68,$A5,Concepts!$F$5:$F$68,"Not started")</f>
        <v>9</v>
      </c>
      <c r="D5" s="10" t="n">
        <f aca="false">COUNTIFS(Concepts!$A$5:$A$68,$A5,Concepts!$F$5:$F$68,"In progress")</f>
        <v>0</v>
      </c>
      <c r="E5" s="10" t="n">
        <f aca="false">COUNTIFS(Concepts!$A$5:$A$68,$A5,Concepts!$F$5:$F$68,"Done")</f>
        <v>0</v>
      </c>
      <c r="F5" s="10" t="n">
        <f aca="false">COUNTIFS(Concepts!$A$5:$A$68,$A5,Concepts!$F$5:$F$68,"Not needed")</f>
        <v>0</v>
      </c>
      <c r="G5" s="11" t="n">
        <f aca="false">IF(B5-F5=0,0,E5/(B5-F5))</f>
        <v>0</v>
      </c>
    </row>
    <row r="6" customFormat="false" ht="15" hidden="false" customHeight="false" outlineLevel="0" collapsed="false">
      <c r="A6" s="10" t="s">
        <v>70</v>
      </c>
      <c r="B6" s="10" t="n">
        <f aca="false">COUNTIF(Concepts!$A$5:$A$68,A6)</f>
        <v>10</v>
      </c>
      <c r="C6" s="10" t="n">
        <f aca="false">COUNTIFS(Concepts!$A$5:$A$68,$A6,Concepts!$F$5:$F$68,"Not started")</f>
        <v>10</v>
      </c>
      <c r="D6" s="10" t="n">
        <f aca="false">COUNTIFS(Concepts!$A$5:$A$68,$A6,Concepts!$F$5:$F$68,"In progress")</f>
        <v>0</v>
      </c>
      <c r="E6" s="10" t="n">
        <f aca="false">COUNTIFS(Concepts!$A$5:$A$68,$A6,Concepts!$F$5:$F$68,"Done")</f>
        <v>0</v>
      </c>
      <c r="F6" s="10" t="n">
        <f aca="false">COUNTIFS(Concepts!$A$5:$A$68,$A6,Concepts!$F$5:$F$68,"Not needed")</f>
        <v>0</v>
      </c>
      <c r="G6" s="11" t="n">
        <f aca="false">IF(B6-F6=0,0,E6/(B6-F6))</f>
        <v>0</v>
      </c>
    </row>
    <row r="7" customFormat="false" ht="15" hidden="false" customHeight="false" outlineLevel="0" collapsed="false">
      <c r="A7" s="10" t="s">
        <v>101</v>
      </c>
      <c r="B7" s="10" t="n">
        <f aca="false">COUNTIF(Concepts!$A$5:$A$68,A7)</f>
        <v>8</v>
      </c>
      <c r="C7" s="10" t="n">
        <f aca="false">COUNTIFS(Concepts!$A$5:$A$68,$A7,Concepts!$F$5:$F$68,"Not started")</f>
        <v>8</v>
      </c>
      <c r="D7" s="10" t="n">
        <f aca="false">COUNTIFS(Concepts!$A$5:$A$68,$A7,Concepts!$F$5:$F$68,"In progress")</f>
        <v>0</v>
      </c>
      <c r="E7" s="10" t="n">
        <f aca="false">COUNTIFS(Concepts!$A$5:$A$68,$A7,Concepts!$F$5:$F$68,"Done")</f>
        <v>0</v>
      </c>
      <c r="F7" s="10" t="n">
        <f aca="false">COUNTIFS(Concepts!$A$5:$A$68,$A7,Concepts!$F$5:$F$68,"Not needed")</f>
        <v>0</v>
      </c>
      <c r="G7" s="11" t="n">
        <f aca="false">IF(B7-F7=0,0,E7/(B7-F7))</f>
        <v>0</v>
      </c>
    </row>
    <row r="8" customFormat="false" ht="15" hidden="false" customHeight="false" outlineLevel="0" collapsed="false">
      <c r="A8" s="10" t="s">
        <v>126</v>
      </c>
      <c r="B8" s="10" t="n">
        <f aca="false">COUNTIF(Concepts!$A$5:$A$68,A8)</f>
        <v>8</v>
      </c>
      <c r="C8" s="10" t="n">
        <f aca="false">COUNTIFS(Concepts!$A$5:$A$68,$A8,Concepts!$F$5:$F$68,"Not started")</f>
        <v>8</v>
      </c>
      <c r="D8" s="10" t="n">
        <f aca="false">COUNTIFS(Concepts!$A$5:$A$68,$A8,Concepts!$F$5:$F$68,"In progress")</f>
        <v>0</v>
      </c>
      <c r="E8" s="10" t="n">
        <f aca="false">COUNTIFS(Concepts!$A$5:$A$68,$A8,Concepts!$F$5:$F$68,"Done")</f>
        <v>0</v>
      </c>
      <c r="F8" s="10" t="n">
        <f aca="false">COUNTIFS(Concepts!$A$5:$A$68,$A8,Concepts!$F$5:$F$68,"Not needed")</f>
        <v>0</v>
      </c>
      <c r="G8" s="11" t="n">
        <f aca="false">IF(B8-F8=0,0,E8/(B8-F8))</f>
        <v>0</v>
      </c>
    </row>
    <row r="9" customFormat="false" ht="15" hidden="false" customHeight="false" outlineLevel="0" collapsed="false">
      <c r="A9" s="10" t="s">
        <v>151</v>
      </c>
      <c r="B9" s="10" t="n">
        <f aca="false">COUNTIF(Concepts!$A$5:$A$68,A9)</f>
        <v>9</v>
      </c>
      <c r="C9" s="10" t="n">
        <f aca="false">COUNTIFS(Concepts!$A$5:$A$68,$A9,Concepts!$F$5:$F$68,"Not started")</f>
        <v>9</v>
      </c>
      <c r="D9" s="10" t="n">
        <f aca="false">COUNTIFS(Concepts!$A$5:$A$68,$A9,Concepts!$F$5:$F$68,"In progress")</f>
        <v>0</v>
      </c>
      <c r="E9" s="10" t="n">
        <f aca="false">COUNTIFS(Concepts!$A$5:$A$68,$A9,Concepts!$F$5:$F$68,"Done")</f>
        <v>0</v>
      </c>
      <c r="F9" s="10" t="n">
        <f aca="false">COUNTIFS(Concepts!$A$5:$A$68,$A9,Concepts!$F$5:$F$68,"Not needed")</f>
        <v>0</v>
      </c>
      <c r="G9" s="11" t="n">
        <f aca="false">IF(B9-F9=0,0,E9/(B9-F9))</f>
        <v>0</v>
      </c>
    </row>
    <row r="10" customFormat="false" ht="15" hidden="false" customHeight="false" outlineLevel="0" collapsed="false">
      <c r="A10" s="10" t="s">
        <v>179</v>
      </c>
      <c r="B10" s="10" t="n">
        <f aca="false">COUNTIF(Concepts!$A$5:$A$68,A10)</f>
        <v>5</v>
      </c>
      <c r="C10" s="10" t="n">
        <f aca="false">COUNTIFS(Concepts!$A$5:$A$68,$A10,Concepts!$F$5:$F$68,"Not started")</f>
        <v>5</v>
      </c>
      <c r="D10" s="10" t="n">
        <f aca="false">COUNTIFS(Concepts!$A$5:$A$68,$A10,Concepts!$F$5:$F$68,"In progress")</f>
        <v>0</v>
      </c>
      <c r="E10" s="10" t="n">
        <f aca="false">COUNTIFS(Concepts!$A$5:$A$68,$A10,Concepts!$F$5:$F$68,"Done")</f>
        <v>0</v>
      </c>
      <c r="F10" s="10" t="n">
        <f aca="false">COUNTIFS(Concepts!$A$5:$A$68,$A10,Concepts!$F$5:$F$68,"Not needed")</f>
        <v>0</v>
      </c>
      <c r="G10" s="11" t="n">
        <f aca="false">IF(B10-F10=0,0,E10/(B10-F10))</f>
        <v>0</v>
      </c>
    </row>
    <row r="11" customFormat="false" ht="15" hidden="false" customHeight="false" outlineLevel="0" collapsed="false">
      <c r="A11" s="10" t="s">
        <v>195</v>
      </c>
      <c r="B11" s="10" t="n">
        <f aca="false">COUNTIF(Concepts!$A$5:$A$68,A11)</f>
        <v>5</v>
      </c>
      <c r="C11" s="10" t="n">
        <f aca="false">COUNTIFS(Concepts!$A$5:$A$68,$A11,Concepts!$F$5:$F$68,"Not started")</f>
        <v>5</v>
      </c>
      <c r="D11" s="10" t="n">
        <f aca="false">COUNTIFS(Concepts!$A$5:$A$68,$A11,Concepts!$F$5:$F$68,"In progress")</f>
        <v>0</v>
      </c>
      <c r="E11" s="10" t="n">
        <f aca="false">COUNTIFS(Concepts!$A$5:$A$68,$A11,Concepts!$F$5:$F$68,"Done")</f>
        <v>0</v>
      </c>
      <c r="F11" s="10" t="n">
        <f aca="false">COUNTIFS(Concepts!$A$5:$A$68,$A11,Concepts!$F$5:$F$68,"Not needed")</f>
        <v>0</v>
      </c>
      <c r="G11" s="11" t="n">
        <f aca="false">IF(B11-F11=0,0,E11/(B11-F11))</f>
        <v>0</v>
      </c>
    </row>
    <row r="12" customFormat="false" ht="15" hidden="false" customHeight="false" outlineLevel="0" collapsed="false">
      <c r="A12" s="12" t="s">
        <v>234</v>
      </c>
      <c r="B12" s="12" t="n">
        <f aca="false">SUM(B4:B11)</f>
        <v>64</v>
      </c>
      <c r="C12" s="12" t="n">
        <f aca="false">SUM(C4:C11)</f>
        <v>64</v>
      </c>
      <c r="D12" s="12" t="n">
        <f aca="false">SUM(D4:D11)</f>
        <v>0</v>
      </c>
      <c r="E12" s="12" t="n">
        <f aca="false">SUM(E4:E11)</f>
        <v>0</v>
      </c>
      <c r="F12" s="12" t="n">
        <f aca="false">SUM(F4:F11)</f>
        <v>0</v>
      </c>
      <c r="G12" s="13" t="n">
        <f aca="false">IF(B12-F12=0,0,E12/(B12-F12))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2026-10-25T11:29:21Z</dcterms:created>
  <dc:creator>openpyxl</dc:creator>
  <dc:description/>
  <dc:language>en-US</dc:language>
  <cp:lastModifiedBy/>
  <dcterms:modified xsi:type="dcterms:W3CDTF">2026-10-25T11:29:21Z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